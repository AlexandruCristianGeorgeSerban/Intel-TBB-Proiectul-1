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vential" sheetId="1" r:id="rId5"/>
    <sheet state="visible" name="TBB-Inter" sheetId="2" r:id="rId6"/>
    <sheet state="visible" name="TBB-Intra" sheetId="3" r:id="rId7"/>
    <sheet state="visible" name="CUDA" sheetId="4" r:id="rId8"/>
    <sheet state="visible" name="4K" sheetId="5" r:id="rId9"/>
    <sheet state="visible" name="Tabelul 1" sheetId="6" r:id="rId10"/>
    <sheet state="visible" name="Tabelul 2" sheetId="7" r:id="rId11"/>
    <sheet state="visible" name="Tabelul 3" sheetId="8" r:id="rId12"/>
    <sheet state="visible" name="Tabelul 4" sheetId="9" r:id="rId13"/>
    <sheet state="visible" name="Tabelul 5" sheetId="10" r:id="rId14"/>
  </sheets>
  <definedNames/>
  <calcPr/>
</workbook>
</file>

<file path=xl/sharedStrings.xml><?xml version="1.0" encoding="utf-8"?>
<sst xmlns="http://schemas.openxmlformats.org/spreadsheetml/2006/main" count="529" uniqueCount="493">
  <si>
    <t>Nr. Crt.</t>
  </si>
  <si>
    <t>Timp Total</t>
  </si>
  <si>
    <t>Throughput</t>
  </si>
  <si>
    <t>32.5323 seconds</t>
  </si>
  <si>
    <t>46.8765 images/second</t>
  </si>
  <si>
    <t>32.3562 seconds</t>
  </si>
  <si>
    <t>47.1316 images/second</t>
  </si>
  <si>
    <t>32.2062 seconds</t>
  </si>
  <si>
    <t>47.3511 images/second</t>
  </si>
  <si>
    <t>32.2186 seconds</t>
  </si>
  <si>
    <t>47.3329 images/second</t>
  </si>
  <si>
    <t>32.2023 seconds</t>
  </si>
  <si>
    <t>47.3568 images/second</t>
  </si>
  <si>
    <t>32.3413 seconds</t>
  </si>
  <si>
    <t>47.1533 images/second</t>
  </si>
  <si>
    <t>32.1701 seconds</t>
  </si>
  <si>
    <t>47.4043 images/second</t>
  </si>
  <si>
    <t>32.2515 seconds</t>
  </si>
  <si>
    <t>47.2847 images/second</t>
  </si>
  <si>
    <t>32.2685 seconds</t>
  </si>
  <si>
    <t>47.2597 images/second</t>
  </si>
  <si>
    <t>32.6128 seconds</t>
  </si>
  <si>
    <t>46.7608 images/second</t>
  </si>
  <si>
    <t>Media</t>
  </si>
  <si>
    <t>Timp Total 1 Thread</t>
  </si>
  <si>
    <t>Throughput 1 Thread</t>
  </si>
  <si>
    <t>Timp Total 2 Thread-uri</t>
  </si>
  <si>
    <t>Throughput 2 Thread-uri</t>
  </si>
  <si>
    <t>Timp Total 4 Thread-uri</t>
  </si>
  <si>
    <t>Throughput 4 Thread-uri</t>
  </si>
  <si>
    <t>Timp Total 6 Thread-uri</t>
  </si>
  <si>
    <t>Throughput 6 Thread-uri</t>
  </si>
  <si>
    <t>Timp Total 12 Thread-uri</t>
  </si>
  <si>
    <t>Throughput 12 Thread-uri</t>
  </si>
  <si>
    <t>35.2312 seconds</t>
  </si>
  <si>
    <t>43.2855 images/second</t>
  </si>
  <si>
    <t>17.4623 seconds</t>
  </si>
  <si>
    <t>87.3311 images/second</t>
  </si>
  <si>
    <t>10.8252 seconds</t>
  </si>
  <si>
    <t>140.875 images/second</t>
  </si>
  <si>
    <t>8.74371 seconds</t>
  </si>
  <si>
    <t>174.411 images/second</t>
  </si>
  <si>
    <t>7.38526 seconds</t>
  </si>
  <si>
    <t>206.492 images/second</t>
  </si>
  <si>
    <t>32.1064 seconds</t>
  </si>
  <si>
    <t>47.4983 images/second</t>
  </si>
  <si>
    <t>17.5211 seconds</t>
  </si>
  <si>
    <t>87.0378 images/second</t>
  </si>
  <si>
    <t>11.9741 seconds</t>
  </si>
  <si>
    <t>127.359 images/second</t>
  </si>
  <si>
    <t>8.78365 seconds</t>
  </si>
  <si>
    <t>173.618 images/second</t>
  </si>
  <si>
    <t>7.03695 seconds</t>
  </si>
  <si>
    <t>216.713 images/second</t>
  </si>
  <si>
    <t>33.7785 seconds</t>
  </si>
  <si>
    <t>45.1471 images/second</t>
  </si>
  <si>
    <t>17.7293 seconds</t>
  </si>
  <si>
    <t>86.0157 images/second</t>
  </si>
  <si>
    <t>10.5653 seconds</t>
  </si>
  <si>
    <t>144.34 images/second</t>
  </si>
  <si>
    <t>8.55967 seconds</t>
  </si>
  <si>
    <t>178.161 images/second</t>
  </si>
  <si>
    <t>7.10692 seconds</t>
  </si>
  <si>
    <t>214.58 images/second</t>
  </si>
  <si>
    <t>33.6546 seconds</t>
  </si>
  <si>
    <t>45.3132 images/second</t>
  </si>
  <si>
    <t>17.5371 seconds</t>
  </si>
  <si>
    <t>86.9586 images/second</t>
  </si>
  <si>
    <t>11.8548 seconds</t>
  </si>
  <si>
    <t>128.639 images/second</t>
  </si>
  <si>
    <t>8.6345 seconds</t>
  </si>
  <si>
    <t>176.617 images/second</t>
  </si>
  <si>
    <t>7.13986 seconds</t>
  </si>
  <si>
    <t>213.59 images/second</t>
  </si>
  <si>
    <t>33.3239 seconds</t>
  </si>
  <si>
    <t>45.763 images/second</t>
  </si>
  <si>
    <t>17.6516 seconds</t>
  </si>
  <si>
    <t>86.3946 images/second</t>
  </si>
  <si>
    <t>10.6373 seconds</t>
  </si>
  <si>
    <t>143.363 images/second</t>
  </si>
  <si>
    <t>8.67379 seconds</t>
  </si>
  <si>
    <t>175.817 images/second</t>
  </si>
  <si>
    <t>7.16346 seconds</t>
  </si>
  <si>
    <t>212.886 images/second</t>
  </si>
  <si>
    <t>32.4837 seconds</t>
  </si>
  <si>
    <t>46.9466 images/second</t>
  </si>
  <si>
    <t>17.6235 seconds</t>
  </si>
  <si>
    <t>86.532 images/second</t>
  </si>
  <si>
    <t>10.5891 seconds</t>
  </si>
  <si>
    <t>144.016 images/second</t>
  </si>
  <si>
    <t>8.72443 seconds</t>
  </si>
  <si>
    <t>174.797 images/second</t>
  </si>
  <si>
    <t>7.24263 seconds</t>
  </si>
  <si>
    <t>210.559 images/second</t>
  </si>
  <si>
    <t>34.7387 seconds</t>
  </si>
  <si>
    <t>43.8992 images/second</t>
  </si>
  <si>
    <t>17.6325 seconds</t>
  </si>
  <si>
    <t>86.4881 images/second</t>
  </si>
  <si>
    <t>10.536 seconds</t>
  </si>
  <si>
    <t>144.742 images/second</t>
  </si>
  <si>
    <t>8.67651 seconds</t>
  </si>
  <si>
    <t>175.762 images/second</t>
  </si>
  <si>
    <t>7.62506 seconds</t>
  </si>
  <si>
    <t>199.999 images/second</t>
  </si>
  <si>
    <t>32.1331 seconds</t>
  </si>
  <si>
    <t>47.4588 images/second</t>
  </si>
  <si>
    <t>17.4918 seconds</t>
  </si>
  <si>
    <t>87.1837 images/second</t>
  </si>
  <si>
    <t>10.5864 seconds</t>
  </si>
  <si>
    <t>144.053 images/second</t>
  </si>
  <si>
    <t>8.74651 seconds</t>
  </si>
  <si>
    <t>174.355 images/second</t>
  </si>
  <si>
    <t>7.21218 seconds</t>
  </si>
  <si>
    <t>211.448 images/second</t>
  </si>
  <si>
    <t>32.2837 seconds</t>
  </si>
  <si>
    <t>47.2375 images/second</t>
  </si>
  <si>
    <t>17.6629 seconds</t>
  </si>
  <si>
    <t>86.339 images/second</t>
  </si>
  <si>
    <t>10.6837 seconds</t>
  </si>
  <si>
    <t>142.741 images/second</t>
  </si>
  <si>
    <t>8.72114 seconds</t>
  </si>
  <si>
    <t>174.862 images/second</t>
  </si>
  <si>
    <t>7.4018 seconds</t>
  </si>
  <si>
    <t>206.031 images/second</t>
  </si>
  <si>
    <t>32.1243 seconds</t>
  </si>
  <si>
    <t>47.4719 images/second</t>
  </si>
  <si>
    <t>17.5423 seconds</t>
  </si>
  <si>
    <t>86.9326 images/second</t>
  </si>
  <si>
    <t>10.5645 seconds</t>
  </si>
  <si>
    <t>144.351 images/second</t>
  </si>
  <si>
    <t>8.69704 seconds</t>
  </si>
  <si>
    <t>175.347 images/second</t>
  </si>
  <si>
    <t>7.31966 seconds</t>
  </si>
  <si>
    <t>208.343 images/second</t>
  </si>
  <si>
    <t>33.9614 seconds</t>
  </si>
  <si>
    <t>44.9039 images/second</t>
  </si>
  <si>
    <t>27.2712 seconds</t>
  </si>
  <si>
    <t>55.9199 images/second</t>
  </si>
  <si>
    <t>24.3679 seconds</t>
  </si>
  <si>
    <t>62.5823 images/second</t>
  </si>
  <si>
    <t>21.7152 seconds</t>
  </si>
  <si>
    <t>70.2273 images/second</t>
  </si>
  <si>
    <t>21.5546 seconds</t>
  </si>
  <si>
    <t>70.7504 images/second</t>
  </si>
  <si>
    <t>32.5901 seconds</t>
  </si>
  <si>
    <t>46.7934 images/second</t>
  </si>
  <si>
    <t>24.5348 seconds</t>
  </si>
  <si>
    <t>62.1567 images/second</t>
  </si>
  <si>
    <t>20.8607 seconds</t>
  </si>
  <si>
    <t>73.1041 images/second</t>
  </si>
  <si>
    <t>20.7631 seconds</t>
  </si>
  <si>
    <t>73.4476 images/second</t>
  </si>
  <si>
    <t>19.1055 seconds</t>
  </si>
  <si>
    <t>79.8201 images/second</t>
  </si>
  <si>
    <t>33.1193 seconds</t>
  </si>
  <si>
    <t>46.0457 images/second</t>
  </si>
  <si>
    <t>26.2683 seconds</t>
  </si>
  <si>
    <t>58.0547 images/second</t>
  </si>
  <si>
    <t>24.4694 seconds</t>
  </si>
  <si>
    <t>62.3228 images/second</t>
  </si>
  <si>
    <t>22.0657 seconds</t>
  </si>
  <si>
    <t>69.1119 images/second</t>
  </si>
  <si>
    <t>19.8002 seconds</t>
  </si>
  <si>
    <t>77.0194 images/second</t>
  </si>
  <si>
    <t>33.3778 seconds</t>
  </si>
  <si>
    <t>45.6891 images/second</t>
  </si>
  <si>
    <t>26.4536 seconds</t>
  </si>
  <si>
    <t>57.648 images/second</t>
  </si>
  <si>
    <t>20.9456 seconds</t>
  </si>
  <si>
    <t>72.8077 images/second</t>
  </si>
  <si>
    <t>19.451 seconds</t>
  </si>
  <si>
    <t>78.4021 images/second</t>
  </si>
  <si>
    <t>19.8642 seconds</t>
  </si>
  <si>
    <t>76.7713 images/second</t>
  </si>
  <si>
    <t>33.8604 seconds</t>
  </si>
  <si>
    <t>45.0379 images/second</t>
  </si>
  <si>
    <t>24.1562 seconds</t>
  </si>
  <si>
    <t>63.1307 images/second</t>
  </si>
  <si>
    <t>23.1702 seconds</t>
  </si>
  <si>
    <t>65.8172 images/second</t>
  </si>
  <si>
    <t>19.458 seconds</t>
  </si>
  <si>
    <t>78.3738 images/second</t>
  </si>
  <si>
    <t>20.0716 seconds</t>
  </si>
  <si>
    <t>75.9779 images/second</t>
  </si>
  <si>
    <t>33.5362 seconds</t>
  </si>
  <si>
    <t>45.4732 images/second</t>
  </si>
  <si>
    <t>24.3311 seconds</t>
  </si>
  <si>
    <t>62.6769 images/second</t>
  </si>
  <si>
    <t>20.2223 seconds</t>
  </si>
  <si>
    <t>75.4118 images/second</t>
  </si>
  <si>
    <t>19.4058 seconds</t>
  </si>
  <si>
    <t>78.5847 images/second</t>
  </si>
  <si>
    <t>19.0676 seconds</t>
  </si>
  <si>
    <t>79.9786 images/second</t>
  </si>
  <si>
    <t>33.7279 seconds</t>
  </si>
  <si>
    <t>45.2148 images/second</t>
  </si>
  <si>
    <t>27.0512 seconds</t>
  </si>
  <si>
    <t>56.3746 images/second</t>
  </si>
  <si>
    <t>20.2972 seconds</t>
  </si>
  <si>
    <t>75.1334 images/second</t>
  </si>
  <si>
    <t>19.5077 seconds</t>
  </si>
  <si>
    <t>78.1743 images/second</t>
  </si>
  <si>
    <t>19.163 seconds</t>
  </si>
  <si>
    <t>79.5803 images/second</t>
  </si>
  <si>
    <t>33.571 seconds</t>
  </si>
  <si>
    <t>45.4261 images/second</t>
  </si>
  <si>
    <t>26.513 seconds</t>
  </si>
  <si>
    <t>57.519 images/second</t>
  </si>
  <si>
    <t>20.3163 seconds</t>
  </si>
  <si>
    <t>75.0627 images/second</t>
  </si>
  <si>
    <t>19.4569 seconds</t>
  </si>
  <si>
    <t>78.3785 images/second</t>
  </si>
  <si>
    <t>19.1499 seconds</t>
  </si>
  <si>
    <t>79.6347 images/second</t>
  </si>
  <si>
    <t>33.465 seconds</t>
  </si>
  <si>
    <t>45.57 images/second</t>
  </si>
  <si>
    <t>25.7786 seconds</t>
  </si>
  <si>
    <t>59.1576 images/second</t>
  </si>
  <si>
    <t>22.8981 seconds</t>
  </si>
  <si>
    <t>66.5995 images/second</t>
  </si>
  <si>
    <t>19.5649 seconds</t>
  </si>
  <si>
    <t>77.9459 images/second</t>
  </si>
  <si>
    <t>19.2526 seconds</t>
  </si>
  <si>
    <t>79.2101 images/second</t>
  </si>
  <si>
    <t>32.3725 seconds</t>
  </si>
  <si>
    <t>47.1078 images/second</t>
  </si>
  <si>
    <t>24.3474 seconds</t>
  </si>
  <si>
    <t>62.6351 images/second</t>
  </si>
  <si>
    <t>23.533 seconds</t>
  </si>
  <si>
    <t>64.8027 images/second</t>
  </si>
  <si>
    <t>19.473 seconds</t>
  </si>
  <si>
    <t>78.3135 images/second</t>
  </si>
  <si>
    <t>19.2085 seconds</t>
  </si>
  <si>
    <t>79.3921 images/second</t>
  </si>
  <si>
    <t>Timp Total 16X16</t>
  </si>
  <si>
    <t>Throughput 16X16</t>
  </si>
  <si>
    <t>13.3561 seconds</t>
  </si>
  <si>
    <t>114.18 images/second</t>
  </si>
  <si>
    <t>13.4454 seconds</t>
  </si>
  <si>
    <t>113.422 images/second</t>
  </si>
  <si>
    <t>12.9643 seconds</t>
  </si>
  <si>
    <t>117.631 images/second</t>
  </si>
  <si>
    <t>12.9503 seconds</t>
  </si>
  <si>
    <t>117.758 images/second</t>
  </si>
  <si>
    <t>13.0629 seconds</t>
  </si>
  <si>
    <t>116.743 images/second</t>
  </si>
  <si>
    <t>12.9681 seconds</t>
  </si>
  <si>
    <t>117.596 images/second</t>
  </si>
  <si>
    <t>13.0579 seconds</t>
  </si>
  <si>
    <t>116.787 images/second</t>
  </si>
  <si>
    <t>12.9403 seconds</t>
  </si>
  <si>
    <t>117.849 images/second</t>
  </si>
  <si>
    <t>13.0336 seconds</t>
  </si>
  <si>
    <t>117.005 images/second</t>
  </si>
  <si>
    <t>12.8889 seconds</t>
  </si>
  <si>
    <t>118.319 images/second</t>
  </si>
  <si>
    <t>Secvential Timp Total</t>
  </si>
  <si>
    <t>Secvential Throughput</t>
  </si>
  <si>
    <t>TBB-Inter Timp Total 6 Thread-uri</t>
  </si>
  <si>
    <t>TBB-Inter Throughput 6 Thread-uri</t>
  </si>
  <si>
    <t>TBB-Inter Timp Total 12 Thread-uri</t>
  </si>
  <si>
    <t>TBB-Inter Throughput 12 Thread-uri</t>
  </si>
  <si>
    <t>TBB-Intra Timp Total 6 Thread-uri</t>
  </si>
  <si>
    <t>TBB-Intra Throughput 6 Thread-uri</t>
  </si>
  <si>
    <t>TBB-Intra Timp Total 12 Thread-uri</t>
  </si>
  <si>
    <t>TBB-Intra Throughput 12 Thread-uri</t>
  </si>
  <si>
    <t>CUDA Timp Total</t>
  </si>
  <si>
    <t>CUDA Throughput</t>
  </si>
  <si>
    <t>42.4277 seconds</t>
  </si>
  <si>
    <t>1.17848 images/second</t>
  </si>
  <si>
    <t>9.45389 seconds</t>
  </si>
  <si>
    <t>5.28883 images/second</t>
  </si>
  <si>
    <t>7.61653 seconds</t>
  </si>
  <si>
    <t>6.56467 images/second</t>
  </si>
  <si>
    <t>34.1397 seconds</t>
  </si>
  <si>
    <t>1.46457 images/second</t>
  </si>
  <si>
    <t>33.2435 seconds</t>
  </si>
  <si>
    <t>1.50405 images/second</t>
  </si>
  <si>
    <t>30.998 seconds</t>
  </si>
  <si>
    <t>1.61301 images/second</t>
  </si>
  <si>
    <t>41.5586 seconds</t>
  </si>
  <si>
    <t>1.20312 images/second</t>
  </si>
  <si>
    <t>9.25211 seconds</t>
  </si>
  <si>
    <t>5.40418 images/second</t>
  </si>
  <si>
    <t>7.47717 seconds</t>
  </si>
  <si>
    <t>6.68702 images/second</t>
  </si>
  <si>
    <t>34.5578 seconds</t>
  </si>
  <si>
    <t>1.44685 images/second</t>
  </si>
  <si>
    <t>32.9377 seconds</t>
  </si>
  <si>
    <t>1.51802 images/second</t>
  </si>
  <si>
    <t>30.2546 seconds</t>
  </si>
  <si>
    <t>1.65264 images/second</t>
  </si>
  <si>
    <t>41.7472 seconds</t>
  </si>
  <si>
    <t>1.19768 images/second</t>
  </si>
  <si>
    <t>9.6103 seconds</t>
  </si>
  <si>
    <t>5.20275 images/second</t>
  </si>
  <si>
    <t>7.6926 seconds</t>
  </si>
  <si>
    <t>6.49975 images/second</t>
  </si>
  <si>
    <t>34.2738 seconds</t>
  </si>
  <si>
    <t>1.45884 images/second</t>
  </si>
  <si>
    <t>33.0087 seconds</t>
  </si>
  <si>
    <t>1.51475 images/second</t>
  </si>
  <si>
    <t>30.1909 seconds</t>
  </si>
  <si>
    <t>1.65613 images/second</t>
  </si>
  <si>
    <t>42.2575 seconds</t>
  </si>
  <si>
    <t>1.18322 images/second</t>
  </si>
  <si>
    <t>9.73443 seconds</t>
  </si>
  <si>
    <t>5.13641 images/second</t>
  </si>
  <si>
    <t>8.08355 seconds</t>
  </si>
  <si>
    <t>6.1854 images/second</t>
  </si>
  <si>
    <t>33.5798 seconds</t>
  </si>
  <si>
    <t>1.48899 images/second</t>
  </si>
  <si>
    <t>33.0725 seconds</t>
  </si>
  <si>
    <t>1.51183 images/second</t>
  </si>
  <si>
    <t>30.5225 seconds</t>
  </si>
  <si>
    <t>1.63813 images/second</t>
  </si>
  <si>
    <t>41.6133 seconds</t>
  </si>
  <si>
    <t>1.20154 images/second</t>
  </si>
  <si>
    <t>9.66232 seconds</t>
  </si>
  <si>
    <t>5.17474 images/second</t>
  </si>
  <si>
    <t>7.59219 seconds</t>
  </si>
  <si>
    <t>6.58571 images/second</t>
  </si>
  <si>
    <t>33.5936 seconds</t>
  </si>
  <si>
    <t>1.48838 images/second</t>
  </si>
  <si>
    <t>33.441 seconds</t>
  </si>
  <si>
    <t>1.49517 images/second</t>
  </si>
  <si>
    <t>29.9792 seconds</t>
  </si>
  <si>
    <t>1.66782 images/second</t>
  </si>
  <si>
    <t>41.5836 seconds</t>
  </si>
  <si>
    <t>1.2024 images/second</t>
  </si>
  <si>
    <t>9.61157 seconds</t>
  </si>
  <si>
    <t>5.20206 images/second</t>
  </si>
  <si>
    <t>7.91386 seconds</t>
  </si>
  <si>
    <t>6.31803 images/second</t>
  </si>
  <si>
    <t>33.3827 seconds</t>
  </si>
  <si>
    <t>1.49778 images/second</t>
  </si>
  <si>
    <t>33.0056 seconds</t>
  </si>
  <si>
    <t>1.51489 images/second</t>
  </si>
  <si>
    <t>30.0467 seconds</t>
  </si>
  <si>
    <t>1.66407 images/second</t>
  </si>
  <si>
    <t>41.6614 seconds</t>
  </si>
  <si>
    <t>1.20015 images/second</t>
  </si>
  <si>
    <t>9.7946 seconds</t>
  </si>
  <si>
    <t>5.10485 images/second</t>
  </si>
  <si>
    <t>7.37601 seconds</t>
  </si>
  <si>
    <t>6.77874 images/second</t>
  </si>
  <si>
    <t>33.6117 seconds</t>
  </si>
  <si>
    <t>1.48758 images/second</t>
  </si>
  <si>
    <t>33.1369 seconds</t>
  </si>
  <si>
    <t>1.50889 images/second</t>
  </si>
  <si>
    <t>29.945 seconds</t>
  </si>
  <si>
    <t>1.66973 images/second</t>
  </si>
  <si>
    <t>41.7733 seconds</t>
  </si>
  <si>
    <t>1.19694 images/second</t>
  </si>
  <si>
    <t>9.69206 seconds</t>
  </si>
  <si>
    <t>5.15886 images/second</t>
  </si>
  <si>
    <t>7.42841 seconds</t>
  </si>
  <si>
    <t>6.73091 images/second</t>
  </si>
  <si>
    <t>33.539 seconds</t>
  </si>
  <si>
    <t>1.4908 images/second</t>
  </si>
  <si>
    <t>32.9124 seconds</t>
  </si>
  <si>
    <t>1.51919 images/second</t>
  </si>
  <si>
    <t>29.9587 seconds</t>
  </si>
  <si>
    <t>1.66896 images/second</t>
  </si>
  <si>
    <t>41.8308 seconds</t>
  </si>
  <si>
    <t>1.19529 images/second</t>
  </si>
  <si>
    <t>9.69737 seconds</t>
  </si>
  <si>
    <t>5.15604 images/second</t>
  </si>
  <si>
    <t>8.10109 seconds</t>
  </si>
  <si>
    <t>6.17201 images/second</t>
  </si>
  <si>
    <t>33.6239 seconds</t>
  </si>
  <si>
    <t>1.48704 images/second</t>
  </si>
  <si>
    <t>33.3662 seconds</t>
  </si>
  <si>
    <t>1.49852 images/second</t>
  </si>
  <si>
    <t>30.1631 seconds</t>
  </si>
  <si>
    <t>1.65765 images/second</t>
  </si>
  <si>
    <t>41.8172 seconds</t>
  </si>
  <si>
    <t>1.19568 images/second</t>
  </si>
  <si>
    <t>9.55382 seconds</t>
  </si>
  <si>
    <t>5.23351 images/second</t>
  </si>
  <si>
    <t>7.63359 seconds</t>
  </si>
  <si>
    <t>6.55 images/second</t>
  </si>
  <si>
    <t>34.3597 seconds</t>
  </si>
  <si>
    <t>1.45519 images/second</t>
  </si>
  <si>
    <t>33.1683 seconds</t>
  </si>
  <si>
    <t>1.50746 images/second</t>
  </si>
  <si>
    <t>30.0305 seconds</t>
  </si>
  <si>
    <t>1.66497 images/second</t>
  </si>
  <si>
    <t>Arhitectură</t>
  </si>
  <si>
    <t>1 Thread</t>
  </si>
  <si>
    <t>2 Thread-uri</t>
  </si>
  <si>
    <t>4 Thread-uri</t>
  </si>
  <si>
    <t>6 Thread-uri</t>
  </si>
  <si>
    <t>12 Thread-uri</t>
  </si>
  <si>
    <t>Secvențial</t>
  </si>
  <si>
    <t>32.31598 s</t>
  </si>
  <si>
    <t>-</t>
  </si>
  <si>
    <t>TBB Inter</t>
  </si>
  <si>
    <t>33.18581 s</t>
  </si>
  <si>
    <t>17.58544 s</t>
  </si>
  <si>
    <t>10.88164 s</t>
  </si>
  <si>
    <t>8.696095 s</t>
  </si>
  <si>
    <t>7.263378 s</t>
  </si>
  <si>
    <t>TBB Inter (Speedup)</t>
  </si>
  <si>
    <t>0.97379x</t>
  </si>
  <si>
    <t>1.83766x</t>
  </si>
  <si>
    <t>2.96977x</t>
  </si>
  <si>
    <t>3.71615x</t>
  </si>
  <si>
    <t>4.44917x</t>
  </si>
  <si>
    <t>TBB Intra</t>
  </si>
  <si>
    <t>33.35816 s</t>
  </si>
  <si>
    <t>25.67054 s</t>
  </si>
  <si>
    <t>22.10807 s</t>
  </si>
  <si>
    <t>20.08613 s</t>
  </si>
  <si>
    <t>19.62377 s</t>
  </si>
  <si>
    <t>TBB Intra (Speedup)</t>
  </si>
  <si>
    <t>0.96876x</t>
  </si>
  <si>
    <t>1.25887x</t>
  </si>
  <si>
    <t>1.46173x</t>
  </si>
  <si>
    <t>1.60887x</t>
  </si>
  <si>
    <t>1.64678x</t>
  </si>
  <si>
    <t>Metodă</t>
  </si>
  <si>
    <t>Throughput (Imagini/Secundă)</t>
  </si>
  <si>
    <t>CPU: Secvențial</t>
  </si>
  <si>
    <t>CPU: TBB Intra (12 Threads)</t>
  </si>
  <si>
    <t>CPU: TBB Inter (12 Threads)</t>
  </si>
  <si>
    <t>GPU: NVIDIA CUDA (16x16 Blocks)</t>
  </si>
  <si>
    <t>13.06678 s</t>
  </si>
  <si>
    <t>Număr Thread-uri</t>
  </si>
  <si>
    <t>Eficiență TBB Inter</t>
  </si>
  <si>
    <t>Eficiență TBB Intra</t>
  </si>
  <si>
    <t>Interpretare (Inter)</t>
  </si>
  <si>
    <t>97.38 %</t>
  </si>
  <si>
    <t>96.88 %</t>
  </si>
  <si>
    <t>Overhead minim (aproape de secvențial)</t>
  </si>
  <si>
    <t>91.88 %</t>
  </si>
  <si>
    <t>62.94 %</t>
  </si>
  <si>
    <t>Foarte eficient</t>
  </si>
  <si>
    <t>74.24 %</t>
  </si>
  <si>
    <t>36.54 %</t>
  </si>
  <si>
    <t>Scădere normală cauzată de partajarea memoriei RAM</t>
  </si>
  <si>
    <t>61.93 %</t>
  </si>
  <si>
    <t>26.81 %</t>
  </si>
  <si>
    <t>Limita nucleelor fizice ale Ryzen 5 5600G</t>
  </si>
  <si>
    <t>37.07 %</t>
  </si>
  <si>
    <t>13.72 %</t>
  </si>
  <si>
    <t>SMT (Hyper-Threading) aduce câștig minim per thread</t>
  </si>
  <si>
    <t>Arhitectură CPU</t>
  </si>
  <si>
    <t>Timp TBB Inter</t>
  </si>
  <si>
    <t>Timp TBB Intra</t>
  </si>
  <si>
    <t>Timp pierdut pe Overhead</t>
  </si>
  <si>
    <t>Penalizare de performanță</t>
  </si>
  <si>
    <t>33.1858 s</t>
  </si>
  <si>
    <t>33.3582 s</t>
  </si>
  <si>
    <t>+ 0.1724 s</t>
  </si>
  <si>
    <t>~ 0.5 %</t>
  </si>
  <si>
    <t>17.5854 s</t>
  </si>
  <si>
    <t>25.6705 s</t>
  </si>
  <si>
    <t>+ 8.0851 s</t>
  </si>
  <si>
    <t>~ 45 % mai lent</t>
  </si>
  <si>
    <t>10.8816 s</t>
  </si>
  <si>
    <t>22.1081 s</t>
  </si>
  <si>
    <t>+ 11.2265 s</t>
  </si>
  <si>
    <t>~ 103 % mai lent</t>
  </si>
  <si>
    <t>8.6961 s</t>
  </si>
  <si>
    <t>20.0861 s</t>
  </si>
  <si>
    <t>+ 11.3900 s</t>
  </si>
  <si>
    <t>~ 130 % mai lent</t>
  </si>
  <si>
    <t>7.2634 s</t>
  </si>
  <si>
    <t>19.6238 s</t>
  </si>
  <si>
    <t>+ 12.3604 s</t>
  </si>
  <si>
    <t>~ 170 % mai lent</t>
  </si>
  <si>
    <t>Timp Execuție</t>
  </si>
  <si>
    <t>Imagini / Secundă</t>
  </si>
  <si>
    <t>Speedup față de Secvențial</t>
  </si>
  <si>
    <t>Secvențial (CPU 1 Core)</t>
  </si>
  <si>
    <t>41.82706 s</t>
  </si>
  <si>
    <t>1.000x</t>
  </si>
  <si>
    <t>TBB Intra-Imagine (6 Threads)</t>
  </si>
  <si>
    <t>33.86617 s</t>
  </si>
  <si>
    <t>1.235x</t>
  </si>
  <si>
    <t>TBB Intra-Imagine (12 Threads)</t>
  </si>
  <si>
    <t>33.12928 s</t>
  </si>
  <si>
    <t>1.262x</t>
  </si>
  <si>
    <t>NVIDIA CUDA (16x16 Blocks)</t>
  </si>
  <si>
    <t>30.20892 s</t>
  </si>
  <si>
    <t>1.385x</t>
  </si>
  <si>
    <t>TBB Inter-Imagine (6 Threads)</t>
  </si>
  <si>
    <t>9.60625 s</t>
  </si>
  <si>
    <t>4.354x</t>
  </si>
  <si>
    <t>TBB Inter-Imagine (12 Threads)</t>
  </si>
  <si>
    <t>7.69150 s</t>
  </si>
  <si>
    <t>5.438x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</si>
</sst>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Google Sans Text"/>
    </font>
    <font>
      <b/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4.63"/>
    <col customWidth="1" min="3" max="3" width="19.63"/>
  </cols>
  <sheetData>
    <row r="1">
      <c r="A1" s="1" t="s">
        <v>0</v>
      </c>
      <c r="B1" s="2" t="s">
        <v>1</v>
      </c>
      <c r="C1" s="2" t="s">
        <v>2</v>
      </c>
    </row>
    <row r="2">
      <c r="A2" s="2">
        <v>1.0</v>
      </c>
      <c r="B2" s="1" t="s">
        <v>3</v>
      </c>
      <c r="C2" s="1" t="s">
        <v>4</v>
      </c>
    </row>
    <row r="3">
      <c r="A3" s="2">
        <v>2.0</v>
      </c>
      <c r="B3" s="1" t="s">
        <v>5</v>
      </c>
      <c r="C3" s="1" t="s">
        <v>6</v>
      </c>
    </row>
    <row r="4">
      <c r="A4" s="2">
        <v>3.0</v>
      </c>
      <c r="B4" s="1" t="s">
        <v>7</v>
      </c>
      <c r="C4" s="1" t="s">
        <v>8</v>
      </c>
    </row>
    <row r="5">
      <c r="A5" s="2">
        <v>4.0</v>
      </c>
      <c r="B5" s="1" t="s">
        <v>9</v>
      </c>
      <c r="C5" s="1" t="s">
        <v>10</v>
      </c>
    </row>
    <row r="6">
      <c r="A6" s="2">
        <v>5.0</v>
      </c>
      <c r="B6" s="1" t="s">
        <v>11</v>
      </c>
      <c r="C6" s="1" t="s">
        <v>12</v>
      </c>
    </row>
    <row r="7">
      <c r="A7" s="2">
        <v>6.0</v>
      </c>
      <c r="B7" s="1" t="s">
        <v>13</v>
      </c>
      <c r="C7" s="1" t="s">
        <v>14</v>
      </c>
    </row>
    <row r="8">
      <c r="A8" s="2">
        <v>7.0</v>
      </c>
      <c r="B8" s="1" t="s">
        <v>15</v>
      </c>
      <c r="C8" s="1" t="s">
        <v>16</v>
      </c>
    </row>
    <row r="9">
      <c r="A9" s="2">
        <v>8.0</v>
      </c>
      <c r="B9" s="1" t="s">
        <v>17</v>
      </c>
      <c r="C9" s="1" t="s">
        <v>18</v>
      </c>
    </row>
    <row r="10">
      <c r="A10" s="2">
        <v>9.0</v>
      </c>
      <c r="B10" s="1" t="s">
        <v>19</v>
      </c>
      <c r="C10" s="1" t="s">
        <v>20</v>
      </c>
    </row>
    <row r="11">
      <c r="A11" s="2">
        <v>10.0</v>
      </c>
      <c r="B11" s="1" t="s">
        <v>21</v>
      </c>
      <c r="C11" s="1" t="s">
        <v>22</v>
      </c>
    </row>
    <row r="13">
      <c r="A13" s="1" t="s">
        <v>23</v>
      </c>
      <c r="B13" s="2" t="str">
        <f t="array" ref="B13">AVERAGE(VALUE(SUBSTITUTE(B2:B11," seconds",""))) &amp; " seconds"</f>
        <v>32.31598 seconds</v>
      </c>
      <c r="C13" s="2" t="str">
        <f t="array" ref="C13">AVERAGE(VALUE(SUBSTITUTE(C2:C11," images/second",""))) &amp; " images/second"</f>
        <v>47.19117 images/second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5.88"/>
    <col customWidth="1" min="3" max="3" width="19.63"/>
    <col customWidth="1" min="4" max="4" width="18.25"/>
    <col customWidth="1" min="5" max="5" width="19.75"/>
    <col customWidth="1" min="6" max="6" width="18.25"/>
    <col customWidth="1" min="7" max="7" width="19.75"/>
    <col customWidth="1" min="8" max="8" width="18.25"/>
    <col customWidth="1" min="9" max="9" width="19.75"/>
    <col customWidth="1" min="10" max="10" width="19.13"/>
    <col customWidth="1" min="11" max="11" width="20.13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</row>
    <row r="2">
      <c r="A2" s="2">
        <v>1.0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>
      <c r="A3" s="2">
        <v>2.0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50</v>
      </c>
      <c r="I3" s="1" t="s">
        <v>51</v>
      </c>
      <c r="J3" s="1" t="s">
        <v>52</v>
      </c>
      <c r="K3" s="1" t="s">
        <v>53</v>
      </c>
    </row>
    <row r="4">
      <c r="A4" s="2">
        <v>3.0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58</v>
      </c>
      <c r="G4" s="1" t="s">
        <v>59</v>
      </c>
      <c r="H4" s="1" t="s">
        <v>60</v>
      </c>
      <c r="I4" s="1" t="s">
        <v>61</v>
      </c>
      <c r="J4" s="1" t="s">
        <v>62</v>
      </c>
      <c r="K4" s="1" t="s">
        <v>63</v>
      </c>
    </row>
    <row r="5">
      <c r="A5" s="2">
        <v>4.0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69</v>
      </c>
      <c r="H5" s="1" t="s">
        <v>70</v>
      </c>
      <c r="I5" s="1" t="s">
        <v>71</v>
      </c>
      <c r="J5" s="1" t="s">
        <v>72</v>
      </c>
      <c r="K5" s="1" t="s">
        <v>73</v>
      </c>
    </row>
    <row r="6">
      <c r="A6" s="2">
        <v>5.0</v>
      </c>
      <c r="B6" s="1" t="s">
        <v>74</v>
      </c>
      <c r="C6" s="1" t="s">
        <v>75</v>
      </c>
      <c r="D6" s="1" t="s">
        <v>76</v>
      </c>
      <c r="E6" s="1" t="s">
        <v>77</v>
      </c>
      <c r="F6" s="1" t="s">
        <v>78</v>
      </c>
      <c r="G6" s="1" t="s">
        <v>79</v>
      </c>
      <c r="H6" s="1" t="s">
        <v>80</v>
      </c>
      <c r="I6" s="1" t="s">
        <v>81</v>
      </c>
      <c r="J6" s="1" t="s">
        <v>82</v>
      </c>
      <c r="K6" s="1" t="s">
        <v>83</v>
      </c>
    </row>
    <row r="7">
      <c r="A7" s="2">
        <v>6.0</v>
      </c>
      <c r="B7" s="1" t="s">
        <v>84</v>
      </c>
      <c r="C7" s="1" t="s">
        <v>85</v>
      </c>
      <c r="D7" s="1" t="s">
        <v>86</v>
      </c>
      <c r="E7" s="1" t="s">
        <v>87</v>
      </c>
      <c r="F7" s="1" t="s">
        <v>88</v>
      </c>
      <c r="G7" s="1" t="s">
        <v>89</v>
      </c>
      <c r="H7" s="1" t="s">
        <v>90</v>
      </c>
      <c r="I7" s="1" t="s">
        <v>91</v>
      </c>
      <c r="J7" s="1" t="s">
        <v>92</v>
      </c>
      <c r="K7" s="1" t="s">
        <v>93</v>
      </c>
    </row>
    <row r="8">
      <c r="A8" s="2">
        <v>7.0</v>
      </c>
      <c r="B8" s="1" t="s">
        <v>94</v>
      </c>
      <c r="C8" s="1" t="s">
        <v>95</v>
      </c>
      <c r="D8" s="1" t="s">
        <v>96</v>
      </c>
      <c r="E8" s="1" t="s">
        <v>97</v>
      </c>
      <c r="F8" s="1" t="s">
        <v>98</v>
      </c>
      <c r="G8" s="1" t="s">
        <v>99</v>
      </c>
      <c r="H8" s="1" t="s">
        <v>100</v>
      </c>
      <c r="I8" s="1" t="s">
        <v>101</v>
      </c>
      <c r="J8" s="1" t="s">
        <v>102</v>
      </c>
      <c r="K8" s="1" t="s">
        <v>103</v>
      </c>
    </row>
    <row r="9">
      <c r="A9" s="2">
        <v>8.0</v>
      </c>
      <c r="B9" s="1" t="s">
        <v>104</v>
      </c>
      <c r="C9" s="1" t="s">
        <v>105</v>
      </c>
      <c r="D9" s="1" t="s">
        <v>106</v>
      </c>
      <c r="E9" s="1" t="s">
        <v>107</v>
      </c>
      <c r="F9" s="1" t="s">
        <v>108</v>
      </c>
      <c r="G9" s="1" t="s">
        <v>109</v>
      </c>
      <c r="H9" s="1" t="s">
        <v>110</v>
      </c>
      <c r="I9" s="1" t="s">
        <v>111</v>
      </c>
      <c r="J9" s="1" t="s">
        <v>112</v>
      </c>
      <c r="K9" s="1" t="s">
        <v>113</v>
      </c>
    </row>
    <row r="10">
      <c r="A10" s="2">
        <v>9.0</v>
      </c>
      <c r="B10" s="1" t="s">
        <v>114</v>
      </c>
      <c r="C10" s="1" t="s">
        <v>115</v>
      </c>
      <c r="D10" s="1" t="s">
        <v>116</v>
      </c>
      <c r="E10" s="1" t="s">
        <v>117</v>
      </c>
      <c r="F10" s="1" t="s">
        <v>118</v>
      </c>
      <c r="G10" s="1" t="s">
        <v>119</v>
      </c>
      <c r="H10" s="1" t="s">
        <v>120</v>
      </c>
      <c r="I10" s="1" t="s">
        <v>121</v>
      </c>
      <c r="J10" s="1" t="s">
        <v>122</v>
      </c>
      <c r="K10" s="1" t="s">
        <v>123</v>
      </c>
    </row>
    <row r="11">
      <c r="A11" s="2">
        <v>10.0</v>
      </c>
      <c r="B11" s="1" t="s">
        <v>124</v>
      </c>
      <c r="C11" s="1" t="s">
        <v>125</v>
      </c>
      <c r="D11" s="1" t="s">
        <v>126</v>
      </c>
      <c r="E11" s="1" t="s">
        <v>127</v>
      </c>
      <c r="F11" s="1" t="s">
        <v>128</v>
      </c>
      <c r="G11" s="1" t="s">
        <v>129</v>
      </c>
      <c r="H11" s="1" t="s">
        <v>130</v>
      </c>
      <c r="I11" s="1" t="s">
        <v>131</v>
      </c>
      <c r="J11" s="1" t="s">
        <v>132</v>
      </c>
      <c r="K11" s="1" t="s">
        <v>133</v>
      </c>
    </row>
    <row r="13">
      <c r="A13" s="1" t="s">
        <v>23</v>
      </c>
      <c r="B13" s="2" t="str">
        <f t="array" ref="B13">AVERAGE(VALUE(SUBSTITUTE(B2:B11," seconds",""))) &amp; " seconds"</f>
        <v>33.18581 seconds</v>
      </c>
      <c r="C13" s="2" t="str">
        <f t="array" ref="C13">AVERAGE(VALUE(SUBSTITUTE(C2:C11," images/second",""))) &amp; " images/second"</f>
        <v>46.00211 images/second</v>
      </c>
      <c r="D13" s="2" t="str">
        <f t="array" ref="D13">AVERAGE(VALUE(SUBSTITUTE(D2:D11," seconds",""))) &amp; " seconds"</f>
        <v>17.58544 seconds</v>
      </c>
      <c r="E13" s="2" t="str">
        <f t="array" ref="E13">AVERAGE(VALUE(SUBSTITUTE(E2:E11," images/second",""))) &amp; " images/second"</f>
        <v>86.72132 images/second</v>
      </c>
      <c r="F13" s="2" t="str">
        <f t="array" ref="F13">AVERAGE(VALUE(SUBSTITUTE(F2:F11," seconds",""))) &amp; " seconds"</f>
        <v>10.88164 seconds</v>
      </c>
      <c r="G13" s="2" t="str">
        <f t="array" ref="G13">AVERAGE(VALUE(SUBSTITUTE(G2:G11," images/second",""))) &amp; " images/second"</f>
        <v>140.4479 images/second</v>
      </c>
      <c r="H13" s="2" t="str">
        <f t="array" ref="H13">AVERAGE(VALUE(SUBSTITUTE(H2:H11," seconds",""))) &amp; " seconds"</f>
        <v>8.696095 seconds</v>
      </c>
      <c r="I13" s="2" t="str">
        <f t="array" ref="I13">AVERAGE(VALUE(SUBSTITUTE(I2:I11," images/second",""))) &amp; " images/second"</f>
        <v>175.3747 images/second</v>
      </c>
      <c r="J13" s="2" t="str">
        <f t="array" ref="J13">AVERAGE(VALUE(SUBSTITUTE(J2:J11," seconds",""))) &amp; " seconds"</f>
        <v>7.263378 seconds</v>
      </c>
      <c r="K13" s="2" t="str">
        <f t="array" ref="K13">AVERAGE(VALUE(SUBSTITUTE(K2:K11," images/second",""))) &amp; " images/second"</f>
        <v>210.0641 images/second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5.88"/>
    <col customWidth="1" min="3" max="3" width="19.75"/>
    <col customWidth="1" min="4" max="4" width="18.25"/>
    <col customWidth="1" min="5" max="5" width="19.75"/>
    <col customWidth="1" min="6" max="6" width="18.25"/>
    <col customWidth="1" min="7" max="7" width="19.75"/>
    <col customWidth="1" min="8" max="8" width="18.25"/>
    <col customWidth="1" min="9" max="9" width="19.75"/>
    <col customWidth="1" min="10" max="10" width="19.13"/>
    <col customWidth="1" min="11" max="11" width="20.13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</row>
    <row r="2">
      <c r="A2" s="2">
        <v>1.0</v>
      </c>
      <c r="B2" s="1" t="s">
        <v>134</v>
      </c>
      <c r="C2" s="1" t="s">
        <v>135</v>
      </c>
      <c r="D2" s="1" t="s">
        <v>136</v>
      </c>
      <c r="E2" s="1" t="s">
        <v>137</v>
      </c>
      <c r="F2" s="1" t="s">
        <v>138</v>
      </c>
      <c r="G2" s="1" t="s">
        <v>139</v>
      </c>
      <c r="H2" s="1" t="s">
        <v>140</v>
      </c>
      <c r="I2" s="1" t="s">
        <v>141</v>
      </c>
      <c r="J2" s="1" t="s">
        <v>142</v>
      </c>
      <c r="K2" s="1" t="s">
        <v>143</v>
      </c>
    </row>
    <row r="3">
      <c r="A3" s="2">
        <v>2.0</v>
      </c>
      <c r="B3" s="1" t="s">
        <v>144</v>
      </c>
      <c r="C3" s="1" t="s">
        <v>145</v>
      </c>
      <c r="D3" s="1" t="s">
        <v>146</v>
      </c>
      <c r="E3" s="1" t="s">
        <v>147</v>
      </c>
      <c r="F3" s="1" t="s">
        <v>148</v>
      </c>
      <c r="G3" s="1" t="s">
        <v>149</v>
      </c>
      <c r="H3" s="1" t="s">
        <v>150</v>
      </c>
      <c r="I3" s="1" t="s">
        <v>151</v>
      </c>
      <c r="J3" s="1" t="s">
        <v>152</v>
      </c>
      <c r="K3" s="1" t="s">
        <v>153</v>
      </c>
    </row>
    <row r="4">
      <c r="A4" s="2">
        <v>3.0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159</v>
      </c>
      <c r="H4" s="1" t="s">
        <v>160</v>
      </c>
      <c r="I4" s="1" t="s">
        <v>161</v>
      </c>
      <c r="J4" s="1" t="s">
        <v>162</v>
      </c>
      <c r="K4" s="1" t="s">
        <v>163</v>
      </c>
    </row>
    <row r="5">
      <c r="A5" s="2">
        <v>4.0</v>
      </c>
      <c r="B5" s="1" t="s">
        <v>164</v>
      </c>
      <c r="C5" s="1" t="s">
        <v>165</v>
      </c>
      <c r="D5" s="1" t="s">
        <v>166</v>
      </c>
      <c r="E5" s="1" t="s">
        <v>167</v>
      </c>
      <c r="F5" s="1" t="s">
        <v>168</v>
      </c>
      <c r="G5" s="1" t="s">
        <v>169</v>
      </c>
      <c r="H5" s="1" t="s">
        <v>170</v>
      </c>
      <c r="I5" s="1" t="s">
        <v>171</v>
      </c>
      <c r="J5" s="1" t="s">
        <v>172</v>
      </c>
      <c r="K5" s="1" t="s">
        <v>173</v>
      </c>
    </row>
    <row r="6">
      <c r="A6" s="2">
        <v>5.0</v>
      </c>
      <c r="B6" s="1" t="s">
        <v>174</v>
      </c>
      <c r="C6" s="1" t="s">
        <v>175</v>
      </c>
      <c r="D6" s="1" t="s">
        <v>176</v>
      </c>
      <c r="E6" s="1" t="s">
        <v>177</v>
      </c>
      <c r="F6" s="1" t="s">
        <v>178</v>
      </c>
      <c r="G6" s="1" t="s">
        <v>179</v>
      </c>
      <c r="H6" s="1" t="s">
        <v>180</v>
      </c>
      <c r="I6" s="1" t="s">
        <v>181</v>
      </c>
      <c r="J6" s="1" t="s">
        <v>182</v>
      </c>
      <c r="K6" s="1" t="s">
        <v>183</v>
      </c>
    </row>
    <row r="7">
      <c r="A7" s="2">
        <v>6.0</v>
      </c>
      <c r="B7" s="1" t="s">
        <v>184</v>
      </c>
      <c r="C7" s="1" t="s">
        <v>185</v>
      </c>
      <c r="D7" s="1" t="s">
        <v>186</v>
      </c>
      <c r="E7" s="1" t="s">
        <v>187</v>
      </c>
      <c r="F7" s="1" t="s">
        <v>188</v>
      </c>
      <c r="G7" s="1" t="s">
        <v>189</v>
      </c>
      <c r="H7" s="1" t="s">
        <v>190</v>
      </c>
      <c r="I7" s="1" t="s">
        <v>191</v>
      </c>
      <c r="J7" s="1" t="s">
        <v>192</v>
      </c>
      <c r="K7" s="1" t="s">
        <v>193</v>
      </c>
    </row>
    <row r="8">
      <c r="A8" s="2">
        <v>7.0</v>
      </c>
      <c r="B8" s="1" t="s">
        <v>194</v>
      </c>
      <c r="C8" s="1" t="s">
        <v>195</v>
      </c>
      <c r="D8" s="1" t="s">
        <v>196</v>
      </c>
      <c r="E8" s="1" t="s">
        <v>197</v>
      </c>
      <c r="F8" s="1" t="s">
        <v>198</v>
      </c>
      <c r="G8" s="1" t="s">
        <v>199</v>
      </c>
      <c r="H8" s="1" t="s">
        <v>200</v>
      </c>
      <c r="I8" s="1" t="s">
        <v>201</v>
      </c>
      <c r="J8" s="1" t="s">
        <v>202</v>
      </c>
      <c r="K8" s="1" t="s">
        <v>203</v>
      </c>
    </row>
    <row r="9">
      <c r="A9" s="2">
        <v>8.0</v>
      </c>
      <c r="B9" s="1" t="s">
        <v>204</v>
      </c>
      <c r="C9" s="1" t="s">
        <v>205</v>
      </c>
      <c r="D9" s="1" t="s">
        <v>206</v>
      </c>
      <c r="E9" s="1" t="s">
        <v>207</v>
      </c>
      <c r="F9" s="1" t="s">
        <v>208</v>
      </c>
      <c r="G9" s="1" t="s">
        <v>209</v>
      </c>
      <c r="H9" s="1" t="s">
        <v>210</v>
      </c>
      <c r="I9" s="1" t="s">
        <v>211</v>
      </c>
      <c r="J9" s="1" t="s">
        <v>212</v>
      </c>
      <c r="K9" s="1" t="s">
        <v>213</v>
      </c>
    </row>
    <row r="10">
      <c r="A10" s="2">
        <v>9.0</v>
      </c>
      <c r="B10" s="1" t="s">
        <v>214</v>
      </c>
      <c r="C10" s="1" t="s">
        <v>215</v>
      </c>
      <c r="D10" s="1" t="s">
        <v>216</v>
      </c>
      <c r="E10" s="1" t="s">
        <v>217</v>
      </c>
      <c r="F10" s="1" t="s">
        <v>218</v>
      </c>
      <c r="G10" s="1" t="s">
        <v>219</v>
      </c>
      <c r="H10" s="1" t="s">
        <v>220</v>
      </c>
      <c r="I10" s="1" t="s">
        <v>221</v>
      </c>
      <c r="J10" s="1" t="s">
        <v>222</v>
      </c>
      <c r="K10" s="1" t="s">
        <v>223</v>
      </c>
    </row>
    <row r="11">
      <c r="A11" s="2">
        <v>10.0</v>
      </c>
      <c r="B11" s="1" t="s">
        <v>224</v>
      </c>
      <c r="C11" s="1" t="s">
        <v>225</v>
      </c>
      <c r="D11" s="1" t="s">
        <v>226</v>
      </c>
      <c r="E11" s="1" t="s">
        <v>227</v>
      </c>
      <c r="F11" s="1" t="s">
        <v>228</v>
      </c>
      <c r="G11" s="1" t="s">
        <v>229</v>
      </c>
      <c r="H11" s="1" t="s">
        <v>230</v>
      </c>
      <c r="I11" s="1" t="s">
        <v>231</v>
      </c>
      <c r="J11" s="1" t="s">
        <v>232</v>
      </c>
      <c r="K11" s="1" t="s">
        <v>233</v>
      </c>
    </row>
    <row r="13">
      <c r="A13" s="1" t="s">
        <v>23</v>
      </c>
      <c r="B13" s="2" t="str">
        <f t="array" ref="B13">AVERAGE(VALUE(SUBSTITUTE(B2:B11," seconds",""))) &amp; " seconds"</f>
        <v>33.35816 seconds</v>
      </c>
      <c r="C13" s="2" t="str">
        <f t="array" ref="C13">AVERAGE(VALUE(SUBSTITUTE(C2:C11," images/second",""))) &amp; " images/second"</f>
        <v>45.72619 images/second</v>
      </c>
      <c r="D13" s="2" t="str">
        <f t="array" ref="D13">AVERAGE(VALUE(SUBSTITUTE(D2:D11," seconds",""))) &amp; " seconds"</f>
        <v>25.67054 seconds</v>
      </c>
      <c r="E13" s="2" t="str">
        <f t="array" ref="E13">AVERAGE(VALUE(SUBSTITUTE(E2:E11," images/second",""))) &amp; " images/second"</f>
        <v>59.52732 images/second</v>
      </c>
      <c r="F13" s="2" t="str">
        <f t="array" ref="F13">AVERAGE(VALUE(SUBSTITUTE(F2:F11," seconds",""))) &amp; " seconds"</f>
        <v>22.10807 seconds</v>
      </c>
      <c r="G13" s="2" t="str">
        <f t="array" ref="G13">AVERAGE(VALUE(SUBSTITUTE(G2:G11," images/second",""))) &amp; " images/second"</f>
        <v>69.36442 images/second</v>
      </c>
      <c r="H13" s="2" t="str">
        <f t="array" ref="H13">AVERAGE(VALUE(SUBSTITUTE(H2:H11," seconds",""))) &amp; " seconds"</f>
        <v>20.08613 seconds</v>
      </c>
      <c r="I13" s="2" t="str">
        <f t="array" ref="I13">AVERAGE(VALUE(SUBSTITUTE(I2:I11," images/second",""))) &amp; " images/second"</f>
        <v>76.09596 images/second</v>
      </c>
      <c r="J13" s="2" t="str">
        <f t="array" ref="J13">AVERAGE(VALUE(SUBSTITUTE(J2:J11," seconds",""))) &amp; " seconds"</f>
        <v>19.62377 seconds</v>
      </c>
      <c r="K13" s="2" t="str">
        <f t="array" ref="K13">AVERAGE(VALUE(SUBSTITUTE(K2:K11," images/second",""))) &amp; " images/second"</f>
        <v>77.81349 images/second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4.63"/>
    <col customWidth="1" min="3" max="3" width="19.5"/>
  </cols>
  <sheetData>
    <row r="1">
      <c r="A1" s="1" t="s">
        <v>0</v>
      </c>
      <c r="B1" s="1" t="s">
        <v>234</v>
      </c>
      <c r="C1" s="2" t="s">
        <v>235</v>
      </c>
    </row>
    <row r="2">
      <c r="A2" s="2">
        <v>1.0</v>
      </c>
      <c r="B2" s="1" t="s">
        <v>236</v>
      </c>
      <c r="C2" s="1" t="s">
        <v>237</v>
      </c>
    </row>
    <row r="3">
      <c r="A3" s="2">
        <v>2.0</v>
      </c>
      <c r="B3" s="1" t="s">
        <v>238</v>
      </c>
      <c r="C3" s="1" t="s">
        <v>239</v>
      </c>
    </row>
    <row r="4">
      <c r="A4" s="2">
        <v>3.0</v>
      </c>
      <c r="B4" s="1" t="s">
        <v>240</v>
      </c>
      <c r="C4" s="1" t="s">
        <v>241</v>
      </c>
    </row>
    <row r="5">
      <c r="A5" s="2">
        <v>4.0</v>
      </c>
      <c r="B5" s="1" t="s">
        <v>242</v>
      </c>
      <c r="C5" s="1" t="s">
        <v>243</v>
      </c>
    </row>
    <row r="6">
      <c r="A6" s="2">
        <v>5.0</v>
      </c>
      <c r="B6" s="1" t="s">
        <v>244</v>
      </c>
      <c r="C6" s="1" t="s">
        <v>245</v>
      </c>
    </row>
    <row r="7">
      <c r="A7" s="2">
        <v>6.0</v>
      </c>
      <c r="B7" s="1" t="s">
        <v>246</v>
      </c>
      <c r="C7" s="1" t="s">
        <v>247</v>
      </c>
    </row>
    <row r="8">
      <c r="A8" s="2">
        <v>7.0</v>
      </c>
      <c r="B8" s="1" t="s">
        <v>248</v>
      </c>
      <c r="C8" s="1" t="s">
        <v>249</v>
      </c>
    </row>
    <row r="9">
      <c r="A9" s="2">
        <v>8.0</v>
      </c>
      <c r="B9" s="1" t="s">
        <v>250</v>
      </c>
      <c r="C9" s="1" t="s">
        <v>251</v>
      </c>
    </row>
    <row r="10">
      <c r="A10" s="2">
        <v>9.0</v>
      </c>
      <c r="B10" s="1" t="s">
        <v>252</v>
      </c>
      <c r="C10" s="1" t="s">
        <v>253</v>
      </c>
    </row>
    <row r="11">
      <c r="A11" s="2">
        <v>10.0</v>
      </c>
      <c r="B11" s="1" t="s">
        <v>254</v>
      </c>
      <c r="C11" s="1" t="s">
        <v>255</v>
      </c>
    </row>
    <row r="13">
      <c r="A13" s="1" t="s">
        <v>23</v>
      </c>
      <c r="B13" s="2" t="str">
        <f t="array" ref="B13">AVERAGE(VALUE(SUBSTITUTE(B2:B11," seconds",""))) &amp; " seconds"</f>
        <v>13.06678 seconds</v>
      </c>
      <c r="C13" s="2" t="str">
        <f t="array" ref="C13">AVERAGE(VALUE(SUBSTITUTE(C2:C11," images/second",""))) &amp; " images/second"</f>
        <v>116.729 images/second</v>
      </c>
    </row>
    <row r="14">
      <c r="B14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6.88"/>
    <col customWidth="1" min="3" max="3" width="18.75"/>
    <col customWidth="1" min="4" max="4" width="25.88"/>
    <col customWidth="1" min="5" max="6" width="26.75"/>
    <col customWidth="1" min="7" max="7" width="27.75"/>
    <col customWidth="1" min="8" max="8" width="25.88"/>
    <col customWidth="1" min="9" max="10" width="26.75"/>
    <col customWidth="1" min="11" max="11" width="27.75"/>
    <col customWidth="1" min="12" max="12" width="14.63"/>
    <col customWidth="1" min="13" max="13" width="19.63"/>
  </cols>
  <sheetData>
    <row r="1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266</v>
      </c>
      <c r="M1" s="2" t="s">
        <v>267</v>
      </c>
    </row>
    <row r="2">
      <c r="A2" s="2">
        <v>1.0</v>
      </c>
      <c r="B2" s="1" t="s">
        <v>268</v>
      </c>
      <c r="C2" s="1" t="s">
        <v>269</v>
      </c>
      <c r="D2" s="1" t="s">
        <v>270</v>
      </c>
      <c r="E2" s="1" t="s">
        <v>271</v>
      </c>
      <c r="F2" s="1" t="s">
        <v>272</v>
      </c>
      <c r="G2" s="1" t="s">
        <v>273</v>
      </c>
      <c r="H2" s="1" t="s">
        <v>274</v>
      </c>
      <c r="I2" s="1" t="s">
        <v>275</v>
      </c>
      <c r="J2" s="1" t="s">
        <v>276</v>
      </c>
      <c r="K2" s="1" t="s">
        <v>277</v>
      </c>
      <c r="L2" s="1" t="s">
        <v>278</v>
      </c>
      <c r="M2" s="1" t="s">
        <v>279</v>
      </c>
    </row>
    <row r="3">
      <c r="A3" s="2">
        <v>2.0</v>
      </c>
      <c r="B3" s="1" t="s">
        <v>280</v>
      </c>
      <c r="C3" s="1" t="s">
        <v>281</v>
      </c>
      <c r="D3" s="1" t="s">
        <v>282</v>
      </c>
      <c r="E3" s="1" t="s">
        <v>283</v>
      </c>
      <c r="F3" s="1" t="s">
        <v>284</v>
      </c>
      <c r="G3" s="1" t="s">
        <v>285</v>
      </c>
      <c r="H3" s="1" t="s">
        <v>286</v>
      </c>
      <c r="I3" s="1" t="s">
        <v>287</v>
      </c>
      <c r="J3" s="1" t="s">
        <v>288</v>
      </c>
      <c r="K3" s="1" t="s">
        <v>289</v>
      </c>
      <c r="L3" s="1" t="s">
        <v>290</v>
      </c>
      <c r="M3" s="1" t="s">
        <v>291</v>
      </c>
    </row>
    <row r="4">
      <c r="A4" s="2">
        <v>3.0</v>
      </c>
      <c r="B4" s="1" t="s">
        <v>292</v>
      </c>
      <c r="C4" s="1" t="s">
        <v>293</v>
      </c>
      <c r="D4" s="1" t="s">
        <v>294</v>
      </c>
      <c r="E4" s="1" t="s">
        <v>295</v>
      </c>
      <c r="F4" s="1" t="s">
        <v>296</v>
      </c>
      <c r="G4" s="1" t="s">
        <v>297</v>
      </c>
      <c r="H4" s="1" t="s">
        <v>298</v>
      </c>
      <c r="I4" s="1" t="s">
        <v>299</v>
      </c>
      <c r="J4" s="1" t="s">
        <v>300</v>
      </c>
      <c r="K4" s="1" t="s">
        <v>301</v>
      </c>
      <c r="L4" s="1" t="s">
        <v>302</v>
      </c>
      <c r="M4" s="1" t="s">
        <v>303</v>
      </c>
    </row>
    <row r="5">
      <c r="A5" s="2">
        <v>4.0</v>
      </c>
      <c r="B5" s="1" t="s">
        <v>304</v>
      </c>
      <c r="C5" s="1" t="s">
        <v>305</v>
      </c>
      <c r="D5" s="1" t="s">
        <v>306</v>
      </c>
      <c r="E5" s="1" t="s">
        <v>307</v>
      </c>
      <c r="F5" s="1" t="s">
        <v>308</v>
      </c>
      <c r="G5" s="1" t="s">
        <v>309</v>
      </c>
      <c r="H5" s="1" t="s">
        <v>310</v>
      </c>
      <c r="I5" s="1" t="s">
        <v>311</v>
      </c>
      <c r="J5" s="1" t="s">
        <v>312</v>
      </c>
      <c r="K5" s="1" t="s">
        <v>313</v>
      </c>
      <c r="L5" s="1" t="s">
        <v>314</v>
      </c>
      <c r="M5" s="1" t="s">
        <v>315</v>
      </c>
    </row>
    <row r="6">
      <c r="A6" s="2">
        <v>5.0</v>
      </c>
      <c r="B6" s="1" t="s">
        <v>316</v>
      </c>
      <c r="C6" s="1" t="s">
        <v>317</v>
      </c>
      <c r="D6" s="1" t="s">
        <v>318</v>
      </c>
      <c r="E6" s="1" t="s">
        <v>319</v>
      </c>
      <c r="F6" s="1" t="s">
        <v>320</v>
      </c>
      <c r="G6" s="1" t="s">
        <v>321</v>
      </c>
      <c r="H6" s="1" t="s">
        <v>322</v>
      </c>
      <c r="I6" s="1" t="s">
        <v>323</v>
      </c>
      <c r="J6" s="1" t="s">
        <v>324</v>
      </c>
      <c r="K6" s="1" t="s">
        <v>325</v>
      </c>
      <c r="L6" s="1" t="s">
        <v>326</v>
      </c>
      <c r="M6" s="1" t="s">
        <v>327</v>
      </c>
    </row>
    <row r="7">
      <c r="A7" s="2">
        <v>6.0</v>
      </c>
      <c r="B7" s="1" t="s">
        <v>328</v>
      </c>
      <c r="C7" s="1" t="s">
        <v>329</v>
      </c>
      <c r="D7" s="1" t="s">
        <v>330</v>
      </c>
      <c r="E7" s="1" t="s">
        <v>331</v>
      </c>
      <c r="F7" s="1" t="s">
        <v>332</v>
      </c>
      <c r="G7" s="1" t="s">
        <v>333</v>
      </c>
      <c r="H7" s="1" t="s">
        <v>334</v>
      </c>
      <c r="I7" s="1" t="s">
        <v>335</v>
      </c>
      <c r="J7" s="1" t="s">
        <v>336</v>
      </c>
      <c r="K7" s="1" t="s">
        <v>337</v>
      </c>
      <c r="L7" s="1" t="s">
        <v>338</v>
      </c>
      <c r="M7" s="1" t="s">
        <v>339</v>
      </c>
    </row>
    <row r="8">
      <c r="A8" s="2">
        <v>7.0</v>
      </c>
      <c r="B8" s="1" t="s">
        <v>340</v>
      </c>
      <c r="C8" s="1" t="s">
        <v>341</v>
      </c>
      <c r="D8" s="1" t="s">
        <v>342</v>
      </c>
      <c r="E8" s="1" t="s">
        <v>343</v>
      </c>
      <c r="F8" s="1" t="s">
        <v>344</v>
      </c>
      <c r="G8" s="1" t="s">
        <v>345</v>
      </c>
      <c r="H8" s="1" t="s">
        <v>346</v>
      </c>
      <c r="I8" s="1" t="s">
        <v>347</v>
      </c>
      <c r="J8" s="1" t="s">
        <v>348</v>
      </c>
      <c r="K8" s="1" t="s">
        <v>349</v>
      </c>
      <c r="L8" s="1" t="s">
        <v>350</v>
      </c>
      <c r="M8" s="1" t="s">
        <v>351</v>
      </c>
    </row>
    <row r="9">
      <c r="A9" s="2">
        <v>8.0</v>
      </c>
      <c r="B9" s="1" t="s">
        <v>352</v>
      </c>
      <c r="C9" s="1" t="s">
        <v>353</v>
      </c>
      <c r="D9" s="1" t="s">
        <v>354</v>
      </c>
      <c r="E9" s="1" t="s">
        <v>355</v>
      </c>
      <c r="F9" s="1" t="s">
        <v>356</v>
      </c>
      <c r="G9" s="1" t="s">
        <v>357</v>
      </c>
      <c r="H9" s="1" t="s">
        <v>358</v>
      </c>
      <c r="I9" s="1" t="s">
        <v>359</v>
      </c>
      <c r="J9" s="1" t="s">
        <v>360</v>
      </c>
      <c r="K9" s="1" t="s">
        <v>361</v>
      </c>
      <c r="L9" s="1" t="s">
        <v>362</v>
      </c>
      <c r="M9" s="1" t="s">
        <v>363</v>
      </c>
    </row>
    <row r="10">
      <c r="A10" s="2">
        <v>9.0</v>
      </c>
      <c r="B10" s="1" t="s">
        <v>364</v>
      </c>
      <c r="C10" s="1" t="s">
        <v>365</v>
      </c>
      <c r="D10" s="1" t="s">
        <v>366</v>
      </c>
      <c r="E10" s="1" t="s">
        <v>367</v>
      </c>
      <c r="F10" s="1" t="s">
        <v>368</v>
      </c>
      <c r="G10" s="1" t="s">
        <v>369</v>
      </c>
      <c r="H10" s="1" t="s">
        <v>370</v>
      </c>
      <c r="I10" s="1" t="s">
        <v>371</v>
      </c>
      <c r="J10" s="1" t="s">
        <v>372</v>
      </c>
      <c r="K10" s="1" t="s">
        <v>373</v>
      </c>
      <c r="L10" s="1" t="s">
        <v>374</v>
      </c>
      <c r="M10" s="1" t="s">
        <v>375</v>
      </c>
    </row>
    <row r="11">
      <c r="A11" s="2">
        <v>10.0</v>
      </c>
      <c r="B11" s="1" t="s">
        <v>376</v>
      </c>
      <c r="C11" s="1" t="s">
        <v>377</v>
      </c>
      <c r="D11" s="1" t="s">
        <v>378</v>
      </c>
      <c r="E11" s="1" t="s">
        <v>379</v>
      </c>
      <c r="F11" s="1" t="s">
        <v>380</v>
      </c>
      <c r="G11" s="1" t="s">
        <v>381</v>
      </c>
      <c r="H11" s="1" t="s">
        <v>382</v>
      </c>
      <c r="I11" s="1" t="s">
        <v>383</v>
      </c>
      <c r="J11" s="1" t="s">
        <v>384</v>
      </c>
      <c r="K11" s="1" t="s">
        <v>385</v>
      </c>
      <c r="L11" s="1" t="s">
        <v>386</v>
      </c>
      <c r="M11" s="1" t="s">
        <v>387</v>
      </c>
    </row>
    <row r="13">
      <c r="A13" s="1" t="s">
        <v>23</v>
      </c>
      <c r="B13" s="2" t="str">
        <f t="array" ref="B13">AVERAGE(VALUE(SUBSTITUTE(B2:B11," seconds",""))) &amp; " seconds"</f>
        <v>41.82706 seconds</v>
      </c>
      <c r="C13" s="2" t="str">
        <f t="array" ref="C13">AVERAGE(VALUE(SUBSTITUTE(C2:C11," images/second",""))) &amp; " images/second"</f>
        <v>1.19545 images/second</v>
      </c>
      <c r="D13" s="2" t="str">
        <f t="array" ref="D13">AVERAGE(VALUE(SUBSTITUTE(D2:D11," seconds",""))) &amp; " seconds"</f>
        <v>9.606247 seconds</v>
      </c>
      <c r="E13" s="2" t="str">
        <f t="array" ref="E13">AVERAGE(VALUE(SUBSTITUTE(E2:E11," images/second",""))) &amp; " images/second"</f>
        <v>5.206223 images/second</v>
      </c>
      <c r="F13" s="2" t="str">
        <f t="array" ref="F13">AVERAGE(VALUE(SUBSTITUTE(F2:F11," seconds",""))) &amp; " seconds"</f>
        <v>7.6915 seconds</v>
      </c>
      <c r="G13" s="2" t="str">
        <f t="array" ref="G13">AVERAGE(VALUE(SUBSTITUTE(G2:G11," images/second",""))) &amp; " images/second"</f>
        <v>6.507224 images/second</v>
      </c>
      <c r="H13" s="2" t="str">
        <f t="array" ref="H13">AVERAGE(VALUE(SUBSTITUTE(H2:H11," seconds",""))) &amp; " seconds"</f>
        <v>33.86617 seconds</v>
      </c>
      <c r="I13" s="2" t="str">
        <f t="array" ref="I13">AVERAGE(VALUE(SUBSTITUTE(I2:I11," images/second",""))) &amp; " images/second"</f>
        <v>1.476602 images/second</v>
      </c>
      <c r="J13" s="2" t="str">
        <f t="array" ref="J13">AVERAGE(VALUE(SUBSTITUTE(J2:J11," seconds",""))) &amp; " seconds"</f>
        <v>33.12928 seconds</v>
      </c>
      <c r="K13" s="2" t="str">
        <f t="array" ref="K13">AVERAGE(VALUE(SUBSTITUTE(K2:K11," images/second",""))) &amp; " images/second"</f>
        <v>1.509277 images/second</v>
      </c>
      <c r="L13" s="2" t="str">
        <f t="array" ref="L13">AVERAGE(VALUE(SUBSTITUTE(L2:L11," seconds",""))) &amp; " seconds"</f>
        <v>30.20892 seconds</v>
      </c>
      <c r="M13" s="2" t="str">
        <f t="array" ref="M13">AVERAGE(VALUE(SUBSTITUTE(M2:M11," images/second",""))) &amp; " images/second"</f>
        <v>1.655311 images/second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9.25"/>
    <col customWidth="1" min="3" max="3" width="10.38"/>
    <col customWidth="1" min="4" max="5" width="10.5"/>
    <col customWidth="1" min="6" max="6" width="11.13"/>
  </cols>
  <sheetData>
    <row r="1">
      <c r="A1" s="3" t="s">
        <v>388</v>
      </c>
      <c r="B1" s="3" t="s">
        <v>389</v>
      </c>
      <c r="C1" s="3" t="s">
        <v>390</v>
      </c>
      <c r="D1" s="3" t="s">
        <v>391</v>
      </c>
      <c r="E1" s="3" t="s">
        <v>392</v>
      </c>
      <c r="F1" s="3" t="s">
        <v>393</v>
      </c>
    </row>
    <row r="2">
      <c r="A2" s="4" t="s">
        <v>394</v>
      </c>
      <c r="B2" s="4" t="s">
        <v>395</v>
      </c>
      <c r="C2" s="3" t="s">
        <v>396</v>
      </c>
      <c r="D2" s="3" t="s">
        <v>396</v>
      </c>
      <c r="E2" s="3" t="s">
        <v>396</v>
      </c>
      <c r="F2" s="3" t="s">
        <v>396</v>
      </c>
    </row>
    <row r="3">
      <c r="A3" s="4" t="s">
        <v>397</v>
      </c>
      <c r="B3" s="3" t="s">
        <v>398</v>
      </c>
      <c r="C3" s="3" t="s">
        <v>399</v>
      </c>
      <c r="D3" s="3" t="s">
        <v>400</v>
      </c>
      <c r="E3" s="3" t="s">
        <v>401</v>
      </c>
      <c r="F3" s="3" t="s">
        <v>402</v>
      </c>
    </row>
    <row r="4">
      <c r="A4" s="4" t="s">
        <v>403</v>
      </c>
      <c r="B4" s="4" t="s">
        <v>404</v>
      </c>
      <c r="C4" s="4" t="s">
        <v>405</v>
      </c>
      <c r="D4" s="4" t="s">
        <v>406</v>
      </c>
      <c r="E4" s="4" t="s">
        <v>407</v>
      </c>
      <c r="F4" s="4" t="s">
        <v>408</v>
      </c>
    </row>
    <row r="5">
      <c r="A5" s="4" t="s">
        <v>409</v>
      </c>
      <c r="B5" s="3" t="s">
        <v>410</v>
      </c>
      <c r="C5" s="3" t="s">
        <v>411</v>
      </c>
      <c r="D5" s="3" t="s">
        <v>412</v>
      </c>
      <c r="E5" s="3" t="s">
        <v>413</v>
      </c>
      <c r="F5" s="3" t="s">
        <v>414</v>
      </c>
    </row>
    <row r="6">
      <c r="A6" s="4" t="s">
        <v>415</v>
      </c>
      <c r="B6" s="4" t="s">
        <v>416</v>
      </c>
      <c r="C6" s="4" t="s">
        <v>417</v>
      </c>
      <c r="D6" s="4" t="s">
        <v>418</v>
      </c>
      <c r="E6" s="4" t="s">
        <v>419</v>
      </c>
      <c r="F6" s="4" t="s">
        <v>420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8.75"/>
    <col customWidth="1" min="3" max="3" width="24.13"/>
  </cols>
  <sheetData>
    <row r="1">
      <c r="A1" s="3" t="s">
        <v>421</v>
      </c>
      <c r="B1" s="3" t="s">
        <v>1</v>
      </c>
      <c r="C1" s="3" t="s">
        <v>422</v>
      </c>
    </row>
    <row r="2">
      <c r="A2" s="4" t="s">
        <v>423</v>
      </c>
      <c r="B2" s="3" t="s">
        <v>395</v>
      </c>
      <c r="C2" s="3">
        <v>47.19117</v>
      </c>
    </row>
    <row r="3">
      <c r="A3" s="4" t="s">
        <v>424</v>
      </c>
      <c r="B3" s="3" t="s">
        <v>414</v>
      </c>
      <c r="C3" s="3">
        <v>77.81349</v>
      </c>
    </row>
    <row r="4">
      <c r="A4" s="4" t="s">
        <v>425</v>
      </c>
      <c r="B4" s="3" t="s">
        <v>402</v>
      </c>
      <c r="C4" s="3">
        <v>210.0641</v>
      </c>
    </row>
    <row r="5">
      <c r="A5" s="4" t="s">
        <v>426</v>
      </c>
      <c r="B5" s="3" t="s">
        <v>427</v>
      </c>
      <c r="C5" s="3">
        <v>116.729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3" width="14.88"/>
    <col customWidth="1" min="4" max="4" width="42.38"/>
  </cols>
  <sheetData>
    <row r="1">
      <c r="A1" s="3" t="s">
        <v>428</v>
      </c>
      <c r="B1" s="3" t="s">
        <v>429</v>
      </c>
      <c r="C1" s="3" t="s">
        <v>430</v>
      </c>
      <c r="D1" s="5" t="s">
        <v>431</v>
      </c>
    </row>
    <row r="2">
      <c r="A2" s="4" t="s">
        <v>389</v>
      </c>
      <c r="B2" s="3" t="s">
        <v>432</v>
      </c>
      <c r="C2" s="3" t="s">
        <v>433</v>
      </c>
      <c r="D2" s="3" t="s">
        <v>434</v>
      </c>
    </row>
    <row r="3">
      <c r="A3" s="4" t="s">
        <v>390</v>
      </c>
      <c r="B3" s="3" t="s">
        <v>435</v>
      </c>
      <c r="C3" s="3" t="s">
        <v>436</v>
      </c>
      <c r="D3" s="3" t="s">
        <v>437</v>
      </c>
    </row>
    <row r="4">
      <c r="A4" s="4" t="s">
        <v>391</v>
      </c>
      <c r="B4" s="3" t="s">
        <v>438</v>
      </c>
      <c r="C4" s="3" t="s">
        <v>439</v>
      </c>
      <c r="D4" s="3" t="s">
        <v>440</v>
      </c>
    </row>
    <row r="5">
      <c r="A5" s="4" t="s">
        <v>392</v>
      </c>
      <c r="B5" s="3" t="s">
        <v>441</v>
      </c>
      <c r="C5" s="3" t="s">
        <v>442</v>
      </c>
      <c r="D5" s="3" t="s">
        <v>443</v>
      </c>
    </row>
    <row r="6">
      <c r="A6" s="4" t="s">
        <v>393</v>
      </c>
      <c r="B6" s="3" t="s">
        <v>444</v>
      </c>
      <c r="C6" s="3" t="s">
        <v>445</v>
      </c>
      <c r="D6" s="3" t="s">
        <v>446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3" width="12.13"/>
    <col customWidth="1" min="4" max="4" width="20.88"/>
    <col customWidth="1" min="5" max="5" width="21.0"/>
  </cols>
  <sheetData>
    <row r="1">
      <c r="A1" s="3" t="s">
        <v>447</v>
      </c>
      <c r="B1" s="3" t="s">
        <v>448</v>
      </c>
      <c r="C1" s="3" t="s">
        <v>449</v>
      </c>
      <c r="D1" s="3" t="s">
        <v>450</v>
      </c>
      <c r="E1" s="3" t="s">
        <v>451</v>
      </c>
    </row>
    <row r="2">
      <c r="A2" s="4" t="s">
        <v>389</v>
      </c>
      <c r="B2" s="3" t="s">
        <v>452</v>
      </c>
      <c r="C2" s="3" t="s">
        <v>453</v>
      </c>
      <c r="D2" s="6" t="s">
        <v>454</v>
      </c>
      <c r="E2" s="3" t="s">
        <v>455</v>
      </c>
    </row>
    <row r="3">
      <c r="A3" s="4" t="s">
        <v>390</v>
      </c>
      <c r="B3" s="3" t="s">
        <v>456</v>
      </c>
      <c r="C3" s="3" t="s">
        <v>457</v>
      </c>
      <c r="D3" s="6" t="s">
        <v>458</v>
      </c>
      <c r="E3" s="3" t="s">
        <v>459</v>
      </c>
    </row>
    <row r="4">
      <c r="A4" s="4" t="s">
        <v>391</v>
      </c>
      <c r="B4" s="3" t="s">
        <v>460</v>
      </c>
      <c r="C4" s="3" t="s">
        <v>461</v>
      </c>
      <c r="D4" s="6" t="s">
        <v>462</v>
      </c>
      <c r="E4" s="3" t="s">
        <v>463</v>
      </c>
    </row>
    <row r="5">
      <c r="A5" s="4" t="s">
        <v>392</v>
      </c>
      <c r="B5" s="3" t="s">
        <v>464</v>
      </c>
      <c r="C5" s="3" t="s">
        <v>465</v>
      </c>
      <c r="D5" s="6" t="s">
        <v>466</v>
      </c>
      <c r="E5" s="3" t="s">
        <v>467</v>
      </c>
    </row>
    <row r="6">
      <c r="A6" s="4" t="s">
        <v>393</v>
      </c>
      <c r="B6" s="3" t="s">
        <v>468</v>
      </c>
      <c r="C6" s="3" t="s">
        <v>469</v>
      </c>
      <c r="D6" s="6" t="s">
        <v>470</v>
      </c>
      <c r="E6" s="3" t="s">
        <v>471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1.63"/>
    <col customWidth="1" min="3" max="3" width="14.5"/>
    <col customWidth="1" min="4" max="4" width="21.75"/>
  </cols>
  <sheetData>
    <row r="1">
      <c r="A1" s="3" t="s">
        <v>388</v>
      </c>
      <c r="B1" s="3" t="s">
        <v>472</v>
      </c>
      <c r="C1" s="3" t="s">
        <v>473</v>
      </c>
      <c r="D1" s="3" t="s">
        <v>474</v>
      </c>
    </row>
    <row r="2">
      <c r="A2" s="4" t="s">
        <v>475</v>
      </c>
      <c r="B2" s="3" t="s">
        <v>476</v>
      </c>
      <c r="C2" s="3">
        <v>1.19</v>
      </c>
      <c r="D2" s="3" t="s">
        <v>477</v>
      </c>
    </row>
    <row r="3">
      <c r="A3" s="4" t="s">
        <v>478</v>
      </c>
      <c r="B3" s="3" t="s">
        <v>479</v>
      </c>
      <c r="C3" s="3">
        <v>1.48</v>
      </c>
      <c r="D3" s="3" t="s">
        <v>480</v>
      </c>
    </row>
    <row r="4">
      <c r="A4" s="4" t="s">
        <v>481</v>
      </c>
      <c r="B4" s="3" t="s">
        <v>482</v>
      </c>
      <c r="C4" s="3">
        <v>1.51</v>
      </c>
      <c r="D4" s="3" t="s">
        <v>483</v>
      </c>
    </row>
    <row r="5">
      <c r="A5" s="4" t="s">
        <v>484</v>
      </c>
      <c r="B5" s="3" t="s">
        <v>485</v>
      </c>
      <c r="C5" s="3">
        <v>1.66</v>
      </c>
      <c r="D5" s="3" t="s">
        <v>486</v>
      </c>
    </row>
    <row r="6">
      <c r="A6" s="4" t="s">
        <v>487</v>
      </c>
      <c r="B6" s="3" t="s">
        <v>488</v>
      </c>
      <c r="C6" s="3">
        <v>5.21</v>
      </c>
      <c r="D6" s="3" t="s">
        <v>489</v>
      </c>
    </row>
    <row r="7">
      <c r="A7" s="4" t="s">
        <v>490</v>
      </c>
      <c r="B7" s="4" t="s">
        <v>491</v>
      </c>
      <c r="C7" s="4">
        <v>6.51</v>
      </c>
      <c r="D7" s="4" t="s">
        <v>492</v>
      </c>
    </row>
  </sheetData>
  <drawing r:id="rId1"/>
</worksheet>
</file>